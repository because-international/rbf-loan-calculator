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F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sz val="9"/>
    </font>
    <font>
      <sz val="11"/>
    </font>
    <font>
      <color rgb="000000FF"/>
      <sz val="11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4" borderId="0" pivotButton="0" quotePrefix="0" xfId="0"/>
    <xf numFmtId="0" fontId="4" fillId="0" borderId="1" pivotButton="0" quotePrefix="0" xfId="0"/>
    <xf numFmtId="2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5" fillId="0" borderId="0" pivotButton="0" quotePrefix="0" xfId="0"/>
    <xf numFmtId="2" fontId="0" fillId="0" borderId="0" pivotButton="0" quotePrefix="0" xfId="0"/>
    <xf numFmtId="164" fontId="0" fillId="0" borderId="1" applyAlignment="1" pivotButton="0" quotePrefix="0" xfId="0">
      <alignment horizontal="right"/>
    </xf>
    <xf numFmtId="164" fontId="5" fillId="0" borderId="0" pivotButton="0" quotePrefix="0" xfId="0"/>
    <xf numFmtId="164" fontId="0" fillId="0" borderId="0" pivotButton="0" quotePrefix="0" xfId="0"/>
    <xf numFmtId="1" fontId="5" fillId="0" borderId="0" pivotButton="0" quotePrefix="0" xfId="0"/>
    <xf numFmtId="0" fontId="4" fillId="5" borderId="1" pivotButton="0" quotePrefix="0" xfId="0"/>
    <xf numFmtId="164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4" customWidth="1" min="4" max="4"/>
    <col hidden="1" width="3" customWidth="1" min="5" max="5"/>
    <col hidden="1" width="15" customWidth="1" min="6" max="6"/>
    <col hidden="1" width="15" customWidth="1" min="7" max="7"/>
    <col hidden="1" width="15" customWidth="1" min="8" max="8"/>
  </cols>
  <sheetData>
    <row r="1" ht="35" customHeight="1">
      <c r="A1" s="1" t="inlineStr">
        <is>
          <t>REVENUE BASED FINANCE CALCULATOR</t>
        </is>
      </c>
    </row>
    <row r="3">
      <c r="A3" s="2" t="inlineStr">
        <is>
          <t>SOLVE FOR:</t>
        </is>
      </c>
      <c r="B3" s="3" t="inlineStr">
        <is>
          <t>Repayment Period</t>
        </is>
      </c>
    </row>
    <row r="6">
      <c r="A6" s="4" t="inlineStr">
        <is>
          <t>Variable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Status</t>
        </is>
      </c>
      <c r="E6" t="inlineStr"/>
      <c r="F6" s="5" t="inlineStr">
        <is>
          <t>Input</t>
        </is>
      </c>
      <c r="G6" s="5" t="inlineStr">
        <is>
          <t>Calc</t>
        </is>
      </c>
      <c r="H6" s="5" t="inlineStr">
        <is>
          <t>AltRepObl</t>
        </is>
      </c>
    </row>
    <row r="7">
      <c r="A7" s="6" t="inlineStr">
        <is>
          <t>Factor Rate</t>
        </is>
      </c>
      <c r="B7" s="7">
        <f>IF($B$3="Factor Rate",G7,F7)</f>
        <v/>
      </c>
      <c r="C7" s="8" t="inlineStr">
        <is>
          <t>x</t>
        </is>
      </c>
      <c r="D7" s="9">
        <f>IF($B$3="Factor Rate","CALCULATED","INPUT")</f>
        <v/>
      </c>
      <c r="F7" s="10" t="n">
        <v>1.5</v>
      </c>
      <c r="G7" s="11">
        <f>IF(OR(F10=0,F8=0),0,((F11/12)*(F9/100)*F10)/F8)</f>
        <v/>
      </c>
    </row>
    <row r="8">
      <c r="A8" s="6" t="inlineStr">
        <is>
          <t>Amount Received</t>
        </is>
      </c>
      <c r="B8" s="12">
        <f>IF($B$3="Amount Received",G8,F8)</f>
        <v/>
      </c>
      <c r="C8" s="8" t="inlineStr">
        <is>
          <t>$</t>
        </is>
      </c>
      <c r="D8" s="9">
        <f>IF($B$3="Amount Received","CALCULATED","INPUT")</f>
        <v/>
      </c>
      <c r="F8" s="13" t="n">
        <v>5000</v>
      </c>
      <c r="G8" s="14">
        <f>IF(OR(F7=0,H8=0),0,H8/F7)</f>
        <v/>
      </c>
      <c r="H8" s="14">
        <f>(F11/12)*(F9/100)*F10</f>
        <v/>
      </c>
    </row>
    <row r="9">
      <c r="A9" s="6" t="inlineStr">
        <is>
          <t>Revenue Share Rate</t>
        </is>
      </c>
      <c r="B9" s="7">
        <f>IF($B$3="Revenue Share Rate",G9,F9)</f>
        <v/>
      </c>
      <c r="C9" s="8" t="inlineStr">
        <is>
          <t>%</t>
        </is>
      </c>
      <c r="D9" s="9">
        <f>IF($B$3="Revenue Share Rate","CALCULATED","INPUT")</f>
        <v/>
      </c>
      <c r="F9" s="10" t="n">
        <v>5</v>
      </c>
      <c r="G9" s="11">
        <f>IF(OR(F10=0,F11=0),0,(((F8*F7)/F10)/(F11/12))*100)</f>
        <v/>
      </c>
    </row>
    <row r="10">
      <c r="A10" s="6" t="inlineStr">
        <is>
          <t>Repayment Period</t>
        </is>
      </c>
      <c r="B10" s="7">
        <f>IF($B$3="Repayment Period",G10,F10)</f>
        <v/>
      </c>
      <c r="C10" s="8" t="inlineStr">
        <is>
          <t>mo</t>
        </is>
      </c>
      <c r="D10" s="9">
        <f>IF($B$3="Repayment Period","CALCULATED","INPUT")</f>
        <v/>
      </c>
      <c r="F10" s="15" t="n">
        <v>24</v>
      </c>
      <c r="G10" s="11">
        <f>IF(((F11/12)*(F9/100))=0,0,(F8*F7)/((F11/12)*(F9/100)))</f>
        <v/>
      </c>
    </row>
    <row r="11">
      <c r="A11" s="6" t="inlineStr">
        <is>
          <t>Annual Revenue</t>
        </is>
      </c>
      <c r="B11" s="12">
        <f>IF($B$3="Annual Revenue",G11,F11)</f>
        <v/>
      </c>
      <c r="C11" s="8" t="inlineStr">
        <is>
          <t>$</t>
        </is>
      </c>
      <c r="D11" s="9">
        <f>IF($B$3="Annual Revenue","CALCULATED","INPUT")</f>
        <v/>
      </c>
      <c r="F11" s="13" t="n">
        <v>22000</v>
      </c>
      <c r="G11" s="14">
        <f>IF(OR(F9=0,F10=0),0,(((F8*F7)/F10)/(F9/100))*12)</f>
        <v/>
      </c>
    </row>
    <row r="12">
      <c r="A12" s="6" t="inlineStr">
        <is>
          <t>Profit Margin</t>
        </is>
      </c>
      <c r="B12" s="7">
        <f>IF($B$3="Profit Margin",G12,F12)</f>
        <v/>
      </c>
      <c r="C12" s="8" t="inlineStr">
        <is>
          <t>%</t>
        </is>
      </c>
      <c r="D12" s="9">
        <f>IF($B$3="Profit Margin","CALCULATED","INPUT")</f>
        <v/>
      </c>
      <c r="F12" s="10" t="n">
        <v>16</v>
      </c>
      <c r="G12" s="11">
        <f>F12</f>
        <v/>
      </c>
    </row>
    <row r="14">
      <c r="A14" s="2" t="inlineStr">
        <is>
          <t>Derived Values</t>
        </is>
      </c>
    </row>
    <row r="15">
      <c r="A15" s="16" t="inlineStr">
        <is>
          <t>Repayment Obligation</t>
        </is>
      </c>
      <c r="B15" s="17">
        <f>B8*B7</f>
        <v/>
      </c>
      <c r="C15" s="18" t="inlineStr">
        <is>
          <t>$</t>
        </is>
      </c>
      <c r="D15" s="18" t="inlineStr">
        <is>
          <t>DERIVED</t>
        </is>
      </c>
    </row>
    <row r="16">
      <c r="A16" s="16" t="inlineStr">
        <is>
          <t>Cost of Capital</t>
        </is>
      </c>
      <c r="B16" s="17">
        <f>B15-B8</f>
        <v/>
      </c>
      <c r="C16" s="18" t="inlineStr">
        <is>
          <t>$</t>
        </is>
      </c>
      <c r="D16" s="18" t="inlineStr">
        <is>
          <t>DERIVED</t>
        </is>
      </c>
    </row>
    <row r="17">
      <c r="A17" s="16" t="inlineStr">
        <is>
          <t>Monthly Payment</t>
        </is>
      </c>
      <c r="B17" s="17">
        <f>(B11/12)*(B9/100)</f>
        <v/>
      </c>
      <c r="C17" s="18" t="inlineStr">
        <is>
          <t>$</t>
        </is>
      </c>
      <c r="D17" s="18" t="inlineStr">
        <is>
          <t>DERIVED</t>
        </is>
      </c>
    </row>
    <row r="19">
      <c r="A19" s="2" t="inlineStr">
        <is>
          <t>Loan Summary</t>
        </is>
      </c>
    </row>
    <row r="20">
      <c r="A20" s="6" t="inlineStr">
        <is>
          <t>Monthly Revenue</t>
        </is>
      </c>
      <c r="B20" s="12">
        <f>B11/12</f>
        <v/>
      </c>
      <c r="C20" s="9" t="inlineStr">
        <is>
          <t>$</t>
        </is>
      </c>
    </row>
    <row r="21">
      <c r="A21" s="6" t="inlineStr">
        <is>
          <t>Repayment Period (Years)</t>
        </is>
      </c>
      <c r="B21" s="7">
        <f>B10/12</f>
        <v/>
      </c>
      <c r="C21" s="9" t="inlineStr">
        <is>
          <t>years</t>
        </is>
      </c>
    </row>
    <row r="22">
      <c r="A22" s="6" t="inlineStr">
        <is>
          <t>Effective Annual Rate</t>
        </is>
      </c>
      <c r="B22" s="7">
        <f>IF(OR(B10=0,B7&lt;=0),0,(POWER(B7,12/B10)-1)*100)</f>
        <v/>
      </c>
      <c r="C22" s="9" t="inlineStr">
        <is>
          <t>%</t>
        </is>
      </c>
    </row>
    <row r="24">
      <c r="A24" s="2" t="inlineStr">
        <is>
          <t>Instructions:</t>
        </is>
      </c>
    </row>
    <row r="25">
      <c r="A25" s="19" t="inlineStr">
        <is>
          <t>1. Select what to calculate from the dropdown (cell B3)</t>
        </is>
      </c>
    </row>
    <row r="26">
      <c r="A26" s="19" t="inlineStr">
        <is>
          <t>2. To change input values, unhide columns E-H (select E and beyond, right-click, Unhide)</t>
        </is>
      </c>
    </row>
    <row r="27">
      <c r="A27" s="19" t="inlineStr">
        <is>
          <t>3. Edit values in column F (blue text = your inputs)</t>
        </is>
      </c>
    </row>
    <row r="28">
      <c r="A28" s="19" t="inlineStr">
        <is>
          <t>4. The calculator automatically computes the selected variable</t>
        </is>
      </c>
    </row>
    <row r="29">
      <c r="A29" s="19" t="inlineStr">
        <is>
          <t>5. Green highlight = calculated value; other values are your inputs</t>
        </is>
      </c>
    </row>
  </sheetData>
  <mergeCells count="1">
    <mergeCell ref="A1:D1"/>
  </mergeCells>
  <conditionalFormatting sqref="A7:D7">
    <cfRule type="expression" priority="1" dxfId="0">
      <formula>$D7="CALCULATED"</formula>
    </cfRule>
  </conditionalFormatting>
  <conditionalFormatting sqref="A8:D8">
    <cfRule type="expression" priority="2" dxfId="0">
      <formula>$D8="CALCULATED"</formula>
    </cfRule>
  </conditionalFormatting>
  <conditionalFormatting sqref="A9:D9">
    <cfRule type="expression" priority="3" dxfId="0">
      <formula>$D9="CALCULATED"</formula>
    </cfRule>
  </conditionalFormatting>
  <conditionalFormatting sqref="A10:D10">
    <cfRule type="expression" priority="4" dxfId="0">
      <formula>$D10="CALCULATED"</formula>
    </cfRule>
  </conditionalFormatting>
  <conditionalFormatting sqref="A11:D11">
    <cfRule type="expression" priority="5" dxfId="0">
      <formula>$D11="CALCULATED"</formula>
    </cfRule>
  </conditionalFormatting>
  <conditionalFormatting sqref="A12:D12">
    <cfRule type="expression" priority="6" dxfId="0">
      <formula>$D12="CALCULATED"</formula>
    </cfRule>
  </conditionalFormatting>
  <conditionalFormatting sqref="B7">
    <cfRule type="expression" priority="7" dxfId="1">
      <formula>AND($D7="CALCULATED",$B7&lt;=1)</formula>
    </cfRule>
  </conditionalFormatting>
  <dataValidations count="7">
    <dataValidation sqref="B3" showDropDown="0" showInputMessage="0" showErrorMessage="0" allowBlank="0" errorTitle="Invalid Selection" error="Please select from the list" type="list">
      <formula1>"Factor Rate,Amount Received,Revenue Share Rate,Repayment Period,Annual Revenue,Profit Margin"</formula1>
    </dataValidation>
    <dataValidation sqref="F7" showDropDown="0" showInputMessage="0" showErrorMessage="0" allowBlank="0" error="Factor Rate must be 0.1-10" type="decimal" operator="between">
      <formula1>0.1</formula1>
      <formula2>10</formula2>
    </dataValidation>
    <dataValidation sqref="F8" showDropDown="0" showInputMessage="0" showErrorMessage="0" allowBlank="0" error="Amount must be &gt; 0" type="decimal" operator="greaterThan">
      <formula1>0</formula1>
    </dataValidation>
    <dataValidation sqref="F9" showDropDown="0" showInputMessage="0" showErrorMessage="0" allowBlank="0" error="Share Rate must be 0.1-100%" type="decimal" operator="between">
      <formula1>0.1</formula1>
      <formula2>100</formula2>
    </dataValidation>
    <dataValidation sqref="F10" showDropDown="0" showInputMessage="0" showErrorMessage="0" allowBlank="0" error="Period must be 1-360 months" type="whole" operator="between">
      <formula1>1</formula1>
      <formula2>360</formula2>
    </dataValidation>
    <dataValidation sqref="F11" showDropDown="0" showInputMessage="0" showErrorMessage="0" allowBlank="0" error="Revenue must be &gt; 0" type="decimal" operator="greaterThan">
      <formula1>0</formula1>
    </dataValidation>
    <dataValidation sqref="F12" showDropDown="0" showInputMessage="0" showErrorMessage="0" allowBlank="0" error="Margin must be 0-100%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2026-02-03T22:43:08Z</dcterms:created>
  <dcterms:modified xmlns:dcterms="http://purl.org/dc/terms/" xmlns:xsi="http://www.w3.org/2001/XMLSchema-instance" xsi:type="dcterms:W3CDTF">2026-02-03T22:43:08Z</dcterms:modified>
</cp:coreProperties>
</file>